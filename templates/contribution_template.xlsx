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Tristan/Documents/GitHub-repos/401-k-Modeller/templates/"/>
    </mc:Choice>
  </mc:AlternateContent>
  <xr:revisionPtr revIDLastSave="0" documentId="13_ncr:1_{8748C354-BD4E-3D41-8F8C-232FF87B5FAF}" xr6:coauthVersionLast="47" xr6:coauthVersionMax="47" xr10:uidLastSave="{00000000-0000-0000-0000-000000000000}"/>
  <bookViews>
    <workbookView xWindow="0" yWindow="500" windowWidth="33600" windowHeight="20500" activeTab="2" xr2:uid="{00000000-000D-0000-FFFF-FFFF00000000}"/>
  </bookViews>
  <sheets>
    <sheet name="Profile" sheetId="1" r:id="rId1"/>
    <sheet name="Contributions" sheetId="2" r:id="rId2"/>
    <sheet name="Withdrawals" sheetId="6" r:id="rId3"/>
    <sheet name="Tax Brackets" sheetId="3" r:id="rId4"/>
    <sheet name="IRS Limits" sheetId="4" r:id="rId5"/>
    <sheet name="Conversion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A2" i="6" a="1"/>
  <c r="A2" i="6" s="1"/>
  <c r="B2" i="6" a="1"/>
  <c r="B2" i="6" s="1"/>
  <c r="B2" i="2" a="1"/>
  <c r="B2" i="2" s="1"/>
  <c r="A2" i="2" a="1"/>
  <c r="A2" i="2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<sst xmlns="http://schemas.openxmlformats.org/spreadsheetml/2006/main" count="120" uniqueCount="33">
  <si>
    <t>Field</t>
  </si>
  <si>
    <t>Value</t>
  </si>
  <si>
    <t>Current Age</t>
  </si>
  <si>
    <t>Retirement Age</t>
  </si>
  <si>
    <t>Starting Balance Traditional</t>
  </si>
  <si>
    <t>Starting Balance Roth</t>
  </si>
  <si>
    <t>Expected Annual Return (%)</t>
  </si>
  <si>
    <t>Inflation Rate (%)</t>
  </si>
  <si>
    <t>Account for Inflation</t>
  </si>
  <si>
    <t>Yes</t>
  </si>
  <si>
    <t>State Tax Rate Working (%)</t>
  </si>
  <si>
    <t>State Tax Rate Retirement (%)</t>
  </si>
  <si>
    <t>Year</t>
  </si>
  <si>
    <t>Gross Salary</t>
  </si>
  <si>
    <t>Traditional (%)</t>
  </si>
  <si>
    <t>Roth (%)</t>
  </si>
  <si>
    <t>Employer Match (%)</t>
  </si>
  <si>
    <t>Match Cap (%)</t>
  </si>
  <si>
    <t>Filing Status</t>
  </si>
  <si>
    <t>Bracket Floor</t>
  </si>
  <si>
    <t>Bracket Ceiling</t>
  </si>
  <si>
    <t>Rate (%)</t>
  </si>
  <si>
    <t>Single</t>
  </si>
  <si>
    <t>Married Filing Jointly</t>
  </si>
  <si>
    <t>Standard Limit</t>
  </si>
  <si>
    <t>Catch-Up Limit</t>
  </si>
  <si>
    <t>Conversion Amount</t>
  </si>
  <si>
    <t>Age</t>
  </si>
  <si>
    <t>Starting Year</t>
  </si>
  <si>
    <t>End Age</t>
  </si>
  <si>
    <t>Traditional Bracket Limit (%)</t>
  </si>
  <si>
    <t>Target Net Take-Home ($)</t>
  </si>
  <si>
    <t>Take-Home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</si>
</sst>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="262" workbookViewId="0">
      <selection activeCell="A16" sqref="A16"/>
    </sheetView>
  </sheetViews>
  <sheetFormatPr baseColWidth="10" defaultColWidth="8.83203125" defaultRowHeight="15" x14ac:dyDescent="0.2"/>
  <cols>
    <col min="1" max="1" width="35" customWidth="1"/>
    <col min="2" max="2" width="1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28</v>
      </c>
      <c r="B2">
        <v>2026</v>
      </c>
    </row>
    <row r="3" spans="1:2" x14ac:dyDescent="0.2">
      <c r="A3" t="s">
        <v>2</v>
      </c>
      <c r="B3">
        <v>28</v>
      </c>
    </row>
    <row r="4" spans="1:2" x14ac:dyDescent="0.2">
      <c r="A4" t="s">
        <v>3</v>
      </c>
      <c r="B4">
        <v>60</v>
      </c>
    </row>
    <row r="5" spans="1:2" x14ac:dyDescent="0.2">
      <c r="A5" t="s">
        <v>29</v>
      </c>
      <c r="B5">
        <v>95</v>
      </c>
    </row>
    <row r="6" spans="1:2" x14ac:dyDescent="0.2">
      <c r="A6" t="s">
        <v>4</v>
      </c>
      <c r="B6">
        <v>10000</v>
      </c>
    </row>
    <row r="7" spans="1:2" x14ac:dyDescent="0.2">
      <c r="A7" t="s">
        <v>5</v>
      </c>
      <c r="B7">
        <v>65000</v>
      </c>
    </row>
    <row r="8" spans="1:2" x14ac:dyDescent="0.2">
      <c r="A8" t="s">
        <v>6</v>
      </c>
      <c r="B8">
        <v>7</v>
      </c>
    </row>
    <row r="9" spans="1:2" x14ac:dyDescent="0.2">
      <c r="A9" t="s">
        <v>7</v>
      </c>
      <c r="B9">
        <v>2.5</v>
      </c>
    </row>
    <row r="10" spans="1:2" x14ac:dyDescent="0.2">
      <c r="A10" t="s">
        <v>8</v>
      </c>
      <c r="B10" t="s">
        <v>9</v>
      </c>
    </row>
    <row r="11" spans="1:2" x14ac:dyDescent="0.2">
      <c r="A11" t="s">
        <v>10</v>
      </c>
      <c r="B11">
        <v>5</v>
      </c>
    </row>
    <row r="12" spans="1:2" x14ac:dyDescent="0.2">
      <c r="A12" t="s">
        <v>11</v>
      </c>
      <c r="B1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zoomScale="200" workbookViewId="0">
      <selection activeCell="D2" sqref="D2:D34"/>
    </sheetView>
  </sheetViews>
  <sheetFormatPr baseColWidth="10" defaultColWidth="8.83203125" defaultRowHeight="15" x14ac:dyDescent="0.2"/>
  <cols>
    <col min="1" max="2" width="8" customWidth="1"/>
    <col min="3" max="3" width="15" customWidth="1"/>
    <col min="4" max="4" width="20.83203125" bestFit="1" customWidth="1"/>
    <col min="5" max="5" width="16" customWidth="1"/>
    <col min="6" max="6" width="10" customWidth="1"/>
    <col min="7" max="7" width="20" customWidth="1"/>
    <col min="8" max="8" width="14" customWidth="1"/>
    <col min="9" max="9" width="17.33203125" bestFit="1" customWidth="1"/>
  </cols>
  <sheetData>
    <row r="1" spans="1:9" x14ac:dyDescent="0.2">
      <c r="A1" s="1" t="s">
        <v>27</v>
      </c>
      <c r="B1" s="1" t="s">
        <v>12</v>
      </c>
      <c r="C1" s="1" t="s">
        <v>13</v>
      </c>
      <c r="D1" s="1" t="s">
        <v>31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x14ac:dyDescent="0.2">
      <c r="A2" cm="1">
        <f t="array" ref="A2:A34">_xlfn.SEQUENCE(Profile!$B$4-Profile!$B$3+1, 1, Profile!$B$3)</f>
        <v>28</v>
      </c>
      <c r="B2" cm="1">
        <f t="array" ref="B2:B34">_xlfn.SEQUENCE(Profile!$B$4-Profile!$B$3+1, 1, Profile!$B$2)</f>
        <v>2026</v>
      </c>
      <c r="C2">
        <v>85000</v>
      </c>
      <c r="D2">
        <v>57828.5</v>
      </c>
      <c r="E2">
        <v>15</v>
      </c>
      <c r="G2">
        <v>5</v>
      </c>
      <c r="I2" t="s">
        <v>22</v>
      </c>
    </row>
    <row r="3" spans="1:9" x14ac:dyDescent="0.2">
      <c r="A3">
        <v>29</v>
      </c>
      <c r="B3">
        <v>2027</v>
      </c>
      <c r="C3">
        <f>C2*1.02</f>
        <v>86700</v>
      </c>
      <c r="D3">
        <v>58883.35</v>
      </c>
      <c r="E3">
        <v>15</v>
      </c>
      <c r="G3">
        <v>5</v>
      </c>
      <c r="I3" t="s">
        <v>22</v>
      </c>
    </row>
    <row r="4" spans="1:9" x14ac:dyDescent="0.2">
      <c r="A4">
        <v>30</v>
      </c>
      <c r="B4">
        <v>2028</v>
      </c>
      <c r="C4">
        <f t="shared" ref="C4:C34" si="0">C3*1.02</f>
        <v>88434</v>
      </c>
      <c r="D4">
        <v>59959.296999999897</v>
      </c>
      <c r="E4">
        <v>15</v>
      </c>
      <c r="G4">
        <v>5</v>
      </c>
      <c r="I4" t="s">
        <v>22</v>
      </c>
    </row>
    <row r="5" spans="1:9" x14ac:dyDescent="0.2">
      <c r="A5">
        <v>31</v>
      </c>
      <c r="B5">
        <v>2029</v>
      </c>
      <c r="C5">
        <f t="shared" si="0"/>
        <v>90202.680000000008</v>
      </c>
      <c r="D5">
        <v>64114.990740000001</v>
      </c>
      <c r="E5">
        <v>15</v>
      </c>
      <c r="G5">
        <v>5</v>
      </c>
      <c r="I5" t="s">
        <v>23</v>
      </c>
    </row>
    <row r="6" spans="1:9" x14ac:dyDescent="0.2">
      <c r="A6">
        <v>32</v>
      </c>
      <c r="B6">
        <v>2030</v>
      </c>
      <c r="C6">
        <f t="shared" si="0"/>
        <v>92006.733600000007</v>
      </c>
      <c r="D6">
        <v>65387.750554799997</v>
      </c>
      <c r="E6">
        <v>15</v>
      </c>
      <c r="G6">
        <v>5</v>
      </c>
      <c r="I6" t="s">
        <v>23</v>
      </c>
    </row>
    <row r="7" spans="1:9" x14ac:dyDescent="0.2">
      <c r="A7">
        <v>33</v>
      </c>
      <c r="B7">
        <v>2031</v>
      </c>
      <c r="C7">
        <f t="shared" si="0"/>
        <v>93846.868272000007</v>
      </c>
      <c r="D7">
        <v>66685.965565895996</v>
      </c>
      <c r="E7">
        <v>15</v>
      </c>
      <c r="G7">
        <v>5</v>
      </c>
      <c r="I7" t="s">
        <v>23</v>
      </c>
    </row>
    <row r="8" spans="1:9" x14ac:dyDescent="0.2">
      <c r="A8">
        <v>34</v>
      </c>
      <c r="B8">
        <v>2032</v>
      </c>
      <c r="C8">
        <f t="shared" si="0"/>
        <v>95723.805637440004</v>
      </c>
      <c r="D8">
        <v>68010.144877213897</v>
      </c>
      <c r="E8">
        <v>15</v>
      </c>
      <c r="G8">
        <v>5</v>
      </c>
      <c r="I8" t="s">
        <v>23</v>
      </c>
    </row>
    <row r="9" spans="1:9" x14ac:dyDescent="0.2">
      <c r="A9">
        <v>35</v>
      </c>
      <c r="B9">
        <v>2033</v>
      </c>
      <c r="C9">
        <f t="shared" si="0"/>
        <v>97638.281750188806</v>
      </c>
      <c r="D9">
        <v>69360.807774758199</v>
      </c>
      <c r="E9">
        <v>15</v>
      </c>
      <c r="G9">
        <v>5</v>
      </c>
      <c r="I9" t="s">
        <v>23</v>
      </c>
    </row>
    <row r="10" spans="1:9" x14ac:dyDescent="0.2">
      <c r="A10">
        <v>36</v>
      </c>
      <c r="B10">
        <v>2034</v>
      </c>
      <c r="C10">
        <f t="shared" si="0"/>
        <v>99591.047385192578</v>
      </c>
      <c r="D10">
        <v>70738.483930253293</v>
      </c>
      <c r="E10">
        <v>15</v>
      </c>
      <c r="G10">
        <v>5</v>
      </c>
      <c r="I10" t="s">
        <v>23</v>
      </c>
    </row>
    <row r="11" spans="1:9" x14ac:dyDescent="0.2">
      <c r="A11">
        <v>37</v>
      </c>
      <c r="B11">
        <v>2035</v>
      </c>
      <c r="C11">
        <f t="shared" si="0"/>
        <v>101582.86833289643</v>
      </c>
      <c r="D11">
        <v>72143.713608858394</v>
      </c>
      <c r="E11">
        <v>15</v>
      </c>
      <c r="G11">
        <v>5</v>
      </c>
      <c r="I11" t="s">
        <v>23</v>
      </c>
    </row>
    <row r="12" spans="1:9" x14ac:dyDescent="0.2">
      <c r="A12">
        <v>38</v>
      </c>
      <c r="B12">
        <v>2036</v>
      </c>
      <c r="C12">
        <f t="shared" si="0"/>
        <v>103614.52569955436</v>
      </c>
      <c r="D12">
        <v>73577.0478810356</v>
      </c>
      <c r="E12">
        <v>15</v>
      </c>
      <c r="G12">
        <v>5</v>
      </c>
      <c r="I12" t="s">
        <v>23</v>
      </c>
    </row>
    <row r="13" spans="1:9" x14ac:dyDescent="0.2">
      <c r="A13">
        <v>39</v>
      </c>
      <c r="B13">
        <v>2037</v>
      </c>
      <c r="C13">
        <f t="shared" si="0"/>
        <v>105686.81621354545</v>
      </c>
      <c r="D13">
        <v>75039.048838656294</v>
      </c>
      <c r="E13">
        <v>15</v>
      </c>
      <c r="G13">
        <v>5</v>
      </c>
      <c r="I13" t="s">
        <v>23</v>
      </c>
    </row>
    <row r="14" spans="1:9" x14ac:dyDescent="0.2">
      <c r="A14">
        <v>40</v>
      </c>
      <c r="B14">
        <v>2038</v>
      </c>
      <c r="C14">
        <f t="shared" si="0"/>
        <v>107800.55253781636</v>
      </c>
      <c r="D14">
        <v>76530.289815429394</v>
      </c>
      <c r="E14">
        <v>15</v>
      </c>
      <c r="G14">
        <v>5</v>
      </c>
      <c r="I14" t="s">
        <v>23</v>
      </c>
    </row>
    <row r="15" spans="1:9" x14ac:dyDescent="0.2">
      <c r="A15">
        <v>41</v>
      </c>
      <c r="B15">
        <v>2039</v>
      </c>
      <c r="C15">
        <f t="shared" si="0"/>
        <v>109956.56358857268</v>
      </c>
      <c r="D15">
        <v>78051.355611738007</v>
      </c>
      <c r="E15">
        <v>15</v>
      </c>
      <c r="G15">
        <v>5</v>
      </c>
      <c r="I15" t="s">
        <v>23</v>
      </c>
    </row>
    <row r="16" spans="1:9" x14ac:dyDescent="0.2">
      <c r="A16">
        <v>42</v>
      </c>
      <c r="B16">
        <v>2040</v>
      </c>
      <c r="C16">
        <f t="shared" si="0"/>
        <v>112155.69486034414</v>
      </c>
      <c r="D16">
        <v>79602.842723972703</v>
      </c>
      <c r="E16">
        <v>15</v>
      </c>
      <c r="G16">
        <v>5</v>
      </c>
      <c r="I16" t="s">
        <v>23</v>
      </c>
    </row>
    <row r="17" spans="1:9" x14ac:dyDescent="0.2">
      <c r="A17">
        <v>43</v>
      </c>
      <c r="B17">
        <v>2041</v>
      </c>
      <c r="C17">
        <f t="shared" si="0"/>
        <v>114398.80875755103</v>
      </c>
      <c r="D17">
        <v>81156.460834060403</v>
      </c>
      <c r="E17">
        <v>15</v>
      </c>
      <c r="G17">
        <v>5</v>
      </c>
      <c r="I17" t="s">
        <v>23</v>
      </c>
    </row>
    <row r="18" spans="1:9" x14ac:dyDescent="0.2">
      <c r="A18">
        <v>44</v>
      </c>
      <c r="B18">
        <v>2042</v>
      </c>
      <c r="C18">
        <f t="shared" si="0"/>
        <v>116686.78493270205</v>
      </c>
      <c r="D18">
        <v>82576.150050741606</v>
      </c>
      <c r="E18">
        <v>15</v>
      </c>
      <c r="G18">
        <v>5</v>
      </c>
      <c r="I18" t="s">
        <v>23</v>
      </c>
    </row>
    <row r="19" spans="1:9" x14ac:dyDescent="0.2">
      <c r="A19">
        <v>45</v>
      </c>
      <c r="B19">
        <v>2043</v>
      </c>
      <c r="C19">
        <f t="shared" si="0"/>
        <v>119020.52063135609</v>
      </c>
      <c r="D19">
        <v>84024.233051756397</v>
      </c>
      <c r="E19">
        <v>15</v>
      </c>
      <c r="G19">
        <v>5</v>
      </c>
      <c r="I19" t="s">
        <v>23</v>
      </c>
    </row>
    <row r="20" spans="1:9" x14ac:dyDescent="0.2">
      <c r="A20">
        <v>46</v>
      </c>
      <c r="B20">
        <v>2044</v>
      </c>
      <c r="C20">
        <f t="shared" si="0"/>
        <v>121400.93104398322</v>
      </c>
      <c r="D20">
        <v>85501.277712791503</v>
      </c>
      <c r="E20">
        <v>15</v>
      </c>
      <c r="G20">
        <v>5</v>
      </c>
      <c r="I20" t="s">
        <v>23</v>
      </c>
    </row>
    <row r="21" spans="1:9" x14ac:dyDescent="0.2">
      <c r="A21">
        <v>47</v>
      </c>
      <c r="B21">
        <v>2045</v>
      </c>
      <c r="C21">
        <f t="shared" si="0"/>
        <v>123828.94966486288</v>
      </c>
      <c r="D21">
        <v>87007.863267047403</v>
      </c>
      <c r="E21">
        <v>15</v>
      </c>
      <c r="G21">
        <v>5</v>
      </c>
      <c r="I21" t="s">
        <v>23</v>
      </c>
    </row>
    <row r="22" spans="1:9" x14ac:dyDescent="0.2">
      <c r="A22">
        <v>48</v>
      </c>
      <c r="B22">
        <v>2046</v>
      </c>
      <c r="C22">
        <f t="shared" si="0"/>
        <v>126305.52865816014</v>
      </c>
      <c r="D22">
        <v>88544.580532388296</v>
      </c>
      <c r="E22">
        <v>15</v>
      </c>
      <c r="G22">
        <v>5</v>
      </c>
      <c r="I22" t="s">
        <v>23</v>
      </c>
    </row>
    <row r="23" spans="1:9" x14ac:dyDescent="0.2">
      <c r="A23">
        <v>49</v>
      </c>
      <c r="B23">
        <v>2047</v>
      </c>
      <c r="C23">
        <f t="shared" si="0"/>
        <v>128831.63923132334</v>
      </c>
      <c r="D23">
        <v>90112.032143036093</v>
      </c>
      <c r="E23">
        <v>15</v>
      </c>
      <c r="G23">
        <v>5</v>
      </c>
      <c r="I23" t="s">
        <v>23</v>
      </c>
    </row>
    <row r="24" spans="1:9" x14ac:dyDescent="0.2">
      <c r="A24">
        <v>50</v>
      </c>
      <c r="B24">
        <v>2048</v>
      </c>
      <c r="C24">
        <f t="shared" si="0"/>
        <v>131408.2720159498</v>
      </c>
      <c r="D24">
        <v>91710.832785896797</v>
      </c>
      <c r="E24">
        <v>15</v>
      </c>
      <c r="G24">
        <v>5</v>
      </c>
      <c r="I24" t="s">
        <v>23</v>
      </c>
    </row>
    <row r="25" spans="1:9" x14ac:dyDescent="0.2">
      <c r="A25">
        <v>51</v>
      </c>
      <c r="B25">
        <v>2049</v>
      </c>
      <c r="C25">
        <f t="shared" si="0"/>
        <v>134036.43745626879</v>
      </c>
      <c r="D25">
        <v>93341.609441614695</v>
      </c>
      <c r="E25">
        <v>15</v>
      </c>
      <c r="G25">
        <v>5</v>
      </c>
      <c r="I25" t="s">
        <v>23</v>
      </c>
    </row>
    <row r="26" spans="1:9" x14ac:dyDescent="0.2">
      <c r="A26">
        <v>52</v>
      </c>
      <c r="B26">
        <v>2050</v>
      </c>
      <c r="C26">
        <f t="shared" si="0"/>
        <v>136717.16620539417</v>
      </c>
      <c r="D26">
        <v>95005.001630447005</v>
      </c>
      <c r="E26">
        <v>15</v>
      </c>
      <c r="G26">
        <v>5</v>
      </c>
      <c r="I26" t="s">
        <v>23</v>
      </c>
    </row>
    <row r="27" spans="1:9" x14ac:dyDescent="0.2">
      <c r="A27">
        <v>53</v>
      </c>
      <c r="B27">
        <v>2051</v>
      </c>
      <c r="C27">
        <f t="shared" si="0"/>
        <v>139451.50952950204</v>
      </c>
      <c r="D27">
        <v>96701.661663056002</v>
      </c>
      <c r="E27">
        <v>15</v>
      </c>
      <c r="G27">
        <v>5</v>
      </c>
      <c r="I27" t="s">
        <v>23</v>
      </c>
    </row>
    <row r="28" spans="1:9" x14ac:dyDescent="0.2">
      <c r="A28">
        <v>54</v>
      </c>
      <c r="B28">
        <v>2052</v>
      </c>
      <c r="C28">
        <f t="shared" si="0"/>
        <v>142240.53972009209</v>
      </c>
      <c r="D28">
        <v>98432.254896317099</v>
      </c>
      <c r="E28">
        <v>15</v>
      </c>
      <c r="G28">
        <v>5</v>
      </c>
      <c r="I28" t="s">
        <v>23</v>
      </c>
    </row>
    <row r="29" spans="1:9" x14ac:dyDescent="0.2">
      <c r="A29">
        <v>55</v>
      </c>
      <c r="B29">
        <v>2053</v>
      </c>
      <c r="C29">
        <f t="shared" si="0"/>
        <v>145085.35051449394</v>
      </c>
      <c r="D29">
        <v>100197.45999424301</v>
      </c>
      <c r="E29">
        <v>15</v>
      </c>
      <c r="G29">
        <v>5</v>
      </c>
      <c r="I29" t="s">
        <v>23</v>
      </c>
    </row>
    <row r="30" spans="1:9" x14ac:dyDescent="0.2">
      <c r="A30">
        <v>56</v>
      </c>
      <c r="B30">
        <v>2054</v>
      </c>
      <c r="C30">
        <f t="shared" si="0"/>
        <v>147987.05752478383</v>
      </c>
      <c r="D30">
        <v>101997.969194128</v>
      </c>
      <c r="E30">
        <v>15</v>
      </c>
      <c r="G30">
        <v>5</v>
      </c>
      <c r="I30" t="s">
        <v>23</v>
      </c>
    </row>
    <row r="31" spans="1:9" x14ac:dyDescent="0.2">
      <c r="A31">
        <v>57</v>
      </c>
      <c r="B31">
        <v>2055</v>
      </c>
      <c r="C31">
        <f t="shared" si="0"/>
        <v>150946.79867527951</v>
      </c>
      <c r="D31">
        <v>103834.48857801</v>
      </c>
      <c r="E31">
        <v>15</v>
      </c>
      <c r="G31">
        <v>5</v>
      </c>
      <c r="I31" t="s">
        <v>23</v>
      </c>
    </row>
    <row r="32" spans="1:9" x14ac:dyDescent="0.2">
      <c r="A32">
        <v>58</v>
      </c>
      <c r="B32">
        <v>2056</v>
      </c>
      <c r="C32">
        <f t="shared" si="0"/>
        <v>153965.73464878512</v>
      </c>
      <c r="D32">
        <v>105707.73834957099</v>
      </c>
      <c r="E32">
        <v>15</v>
      </c>
      <c r="G32">
        <v>5</v>
      </c>
      <c r="I32" t="s">
        <v>23</v>
      </c>
    </row>
    <row r="33" spans="1:9" x14ac:dyDescent="0.2">
      <c r="A33">
        <v>59</v>
      </c>
      <c r="B33">
        <v>2057</v>
      </c>
      <c r="C33">
        <f t="shared" si="0"/>
        <v>157045.04934176081</v>
      </c>
      <c r="D33">
        <v>107618.453116562</v>
      </c>
      <c r="E33">
        <v>15</v>
      </c>
      <c r="G33">
        <v>5</v>
      </c>
      <c r="I33" t="s">
        <v>23</v>
      </c>
    </row>
    <row r="34" spans="1:9" x14ac:dyDescent="0.2">
      <c r="A34">
        <v>60</v>
      </c>
      <c r="B34">
        <v>2058</v>
      </c>
      <c r="C34">
        <f t="shared" si="0"/>
        <v>160185.95032859602</v>
      </c>
      <c r="D34">
        <v>109567.38217889301</v>
      </c>
      <c r="E34">
        <v>15</v>
      </c>
      <c r="G34">
        <v>5</v>
      </c>
      <c r="I34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8F7DF-2892-9A4C-9DF9-7873D8ACB482}">
  <dimension ref="A1:E36"/>
  <sheetViews>
    <sheetView tabSelected="1" zoomScale="200" workbookViewId="0">
      <selection activeCell="C1" sqref="C1"/>
    </sheetView>
  </sheetViews>
  <sheetFormatPr baseColWidth="10" defaultColWidth="8.83203125" defaultRowHeight="15" x14ac:dyDescent="0.2"/>
  <cols>
    <col min="1" max="2" width="8" customWidth="1"/>
    <col min="3" max="3" width="15" customWidth="1"/>
    <col min="4" max="4" width="17.33203125" bestFit="1" customWidth="1"/>
    <col min="5" max="5" width="23" bestFit="1" customWidth="1"/>
  </cols>
  <sheetData>
    <row r="1" spans="1:5" x14ac:dyDescent="0.2">
      <c r="A1" s="1" t="s">
        <v>27</v>
      </c>
      <c r="B1" s="1" t="s">
        <v>12</v>
      </c>
      <c r="C1" s="1" t="s">
        <v>32</v>
      </c>
      <c r="D1" s="1" t="s">
        <v>18</v>
      </c>
      <c r="E1" s="1" t="s">
        <v>30</v>
      </c>
    </row>
    <row r="2" spans="1:5" x14ac:dyDescent="0.2">
      <c r="A2" cm="1">
        <f t="array" ref="A2:A36">_xlfn.SEQUENCE(Profile!$B$5-Profile!$B$4, 1, Profile!$B$4 + 1)</f>
        <v>61</v>
      </c>
      <c r="B2" cm="1">
        <f t="array" ref="B2:B36">_xlfn.SEQUENCE(Profile!$B$5-Profile!$B$4, 1, Profile!$B$2 + (Profile!$B$4-Profile!$B$3) + 1)</f>
        <v>2059</v>
      </c>
      <c r="C2">
        <v>150000</v>
      </c>
      <c r="D2" t="s">
        <v>23</v>
      </c>
      <c r="E2">
        <v>22</v>
      </c>
    </row>
    <row r="3" spans="1:5" x14ac:dyDescent="0.2">
      <c r="A3">
        <v>62</v>
      </c>
      <c r="B3">
        <v>2060</v>
      </c>
      <c r="C3">
        <f>C2*1.02</f>
        <v>153000</v>
      </c>
      <c r="D3" t="s">
        <v>23</v>
      </c>
      <c r="E3">
        <v>22</v>
      </c>
    </row>
    <row r="4" spans="1:5" x14ac:dyDescent="0.2">
      <c r="A4">
        <v>63</v>
      </c>
      <c r="B4">
        <v>2061</v>
      </c>
      <c r="C4">
        <f t="shared" ref="C4:C36" si="0">C3*1.02</f>
        <v>156060</v>
      </c>
      <c r="D4" t="s">
        <v>23</v>
      </c>
      <c r="E4">
        <v>22</v>
      </c>
    </row>
    <row r="5" spans="1:5" x14ac:dyDescent="0.2">
      <c r="A5">
        <v>64</v>
      </c>
      <c r="B5">
        <v>2062</v>
      </c>
      <c r="C5">
        <f t="shared" si="0"/>
        <v>159181.20000000001</v>
      </c>
      <c r="D5" t="s">
        <v>23</v>
      </c>
      <c r="E5">
        <v>22</v>
      </c>
    </row>
    <row r="6" spans="1:5" x14ac:dyDescent="0.2">
      <c r="A6">
        <v>65</v>
      </c>
      <c r="B6">
        <v>2063</v>
      </c>
      <c r="C6">
        <f t="shared" si="0"/>
        <v>162364.82400000002</v>
      </c>
      <c r="D6" t="s">
        <v>23</v>
      </c>
      <c r="E6">
        <v>22</v>
      </c>
    </row>
    <row r="7" spans="1:5" x14ac:dyDescent="0.2">
      <c r="A7">
        <v>66</v>
      </c>
      <c r="B7">
        <v>2064</v>
      </c>
      <c r="C7">
        <f t="shared" si="0"/>
        <v>165612.12048000001</v>
      </c>
      <c r="D7" t="s">
        <v>23</v>
      </c>
      <c r="E7">
        <v>22</v>
      </c>
    </row>
    <row r="8" spans="1:5" x14ac:dyDescent="0.2">
      <c r="A8">
        <v>67</v>
      </c>
      <c r="B8">
        <v>2065</v>
      </c>
      <c r="C8">
        <f t="shared" si="0"/>
        <v>168924.36288960002</v>
      </c>
      <c r="D8" t="s">
        <v>23</v>
      </c>
      <c r="E8">
        <v>22</v>
      </c>
    </row>
    <row r="9" spans="1:5" x14ac:dyDescent="0.2">
      <c r="A9">
        <v>68</v>
      </c>
      <c r="B9">
        <v>2066</v>
      </c>
      <c r="C9">
        <f t="shared" si="0"/>
        <v>172302.85014739202</v>
      </c>
      <c r="D9" t="s">
        <v>23</v>
      </c>
      <c r="E9">
        <v>22</v>
      </c>
    </row>
    <row r="10" spans="1:5" x14ac:dyDescent="0.2">
      <c r="A10">
        <v>69</v>
      </c>
      <c r="B10">
        <v>2067</v>
      </c>
      <c r="C10">
        <f t="shared" si="0"/>
        <v>175748.90715033986</v>
      </c>
      <c r="D10" t="s">
        <v>23</v>
      </c>
      <c r="E10">
        <v>22</v>
      </c>
    </row>
    <row r="11" spans="1:5" x14ac:dyDescent="0.2">
      <c r="A11">
        <v>70</v>
      </c>
      <c r="B11">
        <v>2068</v>
      </c>
      <c r="C11">
        <f t="shared" si="0"/>
        <v>179263.88529334666</v>
      </c>
      <c r="D11" t="s">
        <v>23</v>
      </c>
      <c r="E11">
        <v>22</v>
      </c>
    </row>
    <row r="12" spans="1:5" x14ac:dyDescent="0.2">
      <c r="A12">
        <v>71</v>
      </c>
      <c r="B12">
        <v>2069</v>
      </c>
      <c r="C12">
        <f t="shared" si="0"/>
        <v>182849.16299921359</v>
      </c>
      <c r="D12" t="s">
        <v>23</v>
      </c>
      <c r="E12">
        <v>22</v>
      </c>
    </row>
    <row r="13" spans="1:5" x14ac:dyDescent="0.2">
      <c r="A13">
        <v>72</v>
      </c>
      <c r="B13">
        <v>2070</v>
      </c>
      <c r="C13">
        <f t="shared" si="0"/>
        <v>186506.14625919785</v>
      </c>
      <c r="D13" t="s">
        <v>23</v>
      </c>
      <c r="E13">
        <v>22</v>
      </c>
    </row>
    <row r="14" spans="1:5" x14ac:dyDescent="0.2">
      <c r="A14">
        <v>73</v>
      </c>
      <c r="B14">
        <v>2071</v>
      </c>
      <c r="C14">
        <f t="shared" si="0"/>
        <v>190236.26918438182</v>
      </c>
      <c r="D14" t="s">
        <v>23</v>
      </c>
      <c r="E14">
        <v>22</v>
      </c>
    </row>
    <row r="15" spans="1:5" x14ac:dyDescent="0.2">
      <c r="A15">
        <v>74</v>
      </c>
      <c r="B15">
        <v>2072</v>
      </c>
      <c r="C15">
        <f t="shared" si="0"/>
        <v>194040.99456806947</v>
      </c>
      <c r="D15" t="s">
        <v>23</v>
      </c>
      <c r="E15">
        <v>22</v>
      </c>
    </row>
    <row r="16" spans="1:5" x14ac:dyDescent="0.2">
      <c r="A16">
        <v>75</v>
      </c>
      <c r="B16">
        <v>2073</v>
      </c>
      <c r="C16">
        <f t="shared" si="0"/>
        <v>197921.81445943087</v>
      </c>
      <c r="D16" t="s">
        <v>23</v>
      </c>
      <c r="E16">
        <v>22</v>
      </c>
    </row>
    <row r="17" spans="1:5" x14ac:dyDescent="0.2">
      <c r="A17">
        <v>76</v>
      </c>
      <c r="B17">
        <v>2074</v>
      </c>
      <c r="C17">
        <f t="shared" si="0"/>
        <v>201880.2507486195</v>
      </c>
      <c r="D17" t="s">
        <v>23</v>
      </c>
      <c r="E17">
        <v>22</v>
      </c>
    </row>
    <row r="18" spans="1:5" x14ac:dyDescent="0.2">
      <c r="A18">
        <v>77</v>
      </c>
      <c r="B18">
        <v>2075</v>
      </c>
      <c r="C18">
        <f t="shared" si="0"/>
        <v>205917.85576359188</v>
      </c>
      <c r="D18" t="s">
        <v>23</v>
      </c>
      <c r="E18">
        <v>22</v>
      </c>
    </row>
    <row r="19" spans="1:5" x14ac:dyDescent="0.2">
      <c r="A19">
        <v>78</v>
      </c>
      <c r="B19">
        <v>2076</v>
      </c>
      <c r="C19">
        <f t="shared" si="0"/>
        <v>210036.21287886373</v>
      </c>
      <c r="D19" t="s">
        <v>23</v>
      </c>
      <c r="E19">
        <v>22</v>
      </c>
    </row>
    <row r="20" spans="1:5" x14ac:dyDescent="0.2">
      <c r="A20">
        <v>79</v>
      </c>
      <c r="B20">
        <v>2077</v>
      </c>
      <c r="C20">
        <f t="shared" si="0"/>
        <v>214236.937136441</v>
      </c>
      <c r="D20" t="s">
        <v>23</v>
      </c>
      <c r="E20">
        <v>22</v>
      </c>
    </row>
    <row r="21" spans="1:5" x14ac:dyDescent="0.2">
      <c r="A21">
        <v>80</v>
      </c>
      <c r="B21">
        <v>2078</v>
      </c>
      <c r="C21">
        <f>C20*1.02</f>
        <v>218521.67587916984</v>
      </c>
      <c r="D21" t="s">
        <v>23</v>
      </c>
      <c r="E21">
        <v>22</v>
      </c>
    </row>
    <row r="22" spans="1:5" x14ac:dyDescent="0.2">
      <c r="A22">
        <v>81</v>
      </c>
      <c r="B22">
        <v>2079</v>
      </c>
      <c r="C22">
        <f t="shared" si="0"/>
        <v>222892.10939675325</v>
      </c>
      <c r="D22" t="s">
        <v>23</v>
      </c>
      <c r="E22">
        <v>22</v>
      </c>
    </row>
    <row r="23" spans="1:5" x14ac:dyDescent="0.2">
      <c r="A23">
        <v>82</v>
      </c>
      <c r="B23">
        <v>2080</v>
      </c>
      <c r="C23">
        <f t="shared" si="0"/>
        <v>227349.95158468833</v>
      </c>
      <c r="D23" t="s">
        <v>23</v>
      </c>
      <c r="E23">
        <v>22</v>
      </c>
    </row>
    <row r="24" spans="1:5" x14ac:dyDescent="0.2">
      <c r="A24">
        <v>83</v>
      </c>
      <c r="B24">
        <v>2081</v>
      </c>
      <c r="C24">
        <f t="shared" si="0"/>
        <v>231896.95061638209</v>
      </c>
      <c r="D24" t="s">
        <v>23</v>
      </c>
      <c r="E24">
        <v>22</v>
      </c>
    </row>
    <row r="25" spans="1:5" x14ac:dyDescent="0.2">
      <c r="A25">
        <v>84</v>
      </c>
      <c r="B25">
        <v>2082</v>
      </c>
      <c r="C25">
        <f t="shared" si="0"/>
        <v>236534.88962870973</v>
      </c>
      <c r="D25" t="s">
        <v>23</v>
      </c>
      <c r="E25">
        <v>22</v>
      </c>
    </row>
    <row r="26" spans="1:5" x14ac:dyDescent="0.2">
      <c r="A26">
        <v>85</v>
      </c>
      <c r="B26">
        <v>2083</v>
      </c>
      <c r="C26">
        <f t="shared" si="0"/>
        <v>241265.58742128394</v>
      </c>
      <c r="D26" t="s">
        <v>23</v>
      </c>
      <c r="E26">
        <v>22</v>
      </c>
    </row>
    <row r="27" spans="1:5" x14ac:dyDescent="0.2">
      <c r="A27">
        <v>86</v>
      </c>
      <c r="B27">
        <v>2084</v>
      </c>
      <c r="C27">
        <f t="shared" si="0"/>
        <v>246090.89916970962</v>
      </c>
      <c r="D27" t="s">
        <v>23</v>
      </c>
      <c r="E27">
        <v>22</v>
      </c>
    </row>
    <row r="28" spans="1:5" x14ac:dyDescent="0.2">
      <c r="A28">
        <v>87</v>
      </c>
      <c r="B28">
        <v>2085</v>
      </c>
      <c r="C28">
        <f t="shared" si="0"/>
        <v>251012.71715310382</v>
      </c>
      <c r="D28" t="s">
        <v>23</v>
      </c>
      <c r="E28">
        <v>22</v>
      </c>
    </row>
    <row r="29" spans="1:5" x14ac:dyDescent="0.2">
      <c r="A29">
        <v>88</v>
      </c>
      <c r="B29">
        <v>2086</v>
      </c>
      <c r="C29">
        <f t="shared" si="0"/>
        <v>256032.9714961659</v>
      </c>
      <c r="D29" t="s">
        <v>23</v>
      </c>
      <c r="E29">
        <v>22</v>
      </c>
    </row>
    <row r="30" spans="1:5" x14ac:dyDescent="0.2">
      <c r="A30">
        <v>89</v>
      </c>
      <c r="B30">
        <v>2087</v>
      </c>
      <c r="C30">
        <f t="shared" si="0"/>
        <v>261153.63092608922</v>
      </c>
      <c r="D30" t="s">
        <v>23</v>
      </c>
      <c r="E30">
        <v>22</v>
      </c>
    </row>
    <row r="31" spans="1:5" x14ac:dyDescent="0.2">
      <c r="A31">
        <v>90</v>
      </c>
      <c r="B31">
        <v>2088</v>
      </c>
      <c r="C31">
        <f t="shared" si="0"/>
        <v>266376.70354461099</v>
      </c>
      <c r="D31" t="s">
        <v>23</v>
      </c>
      <c r="E31">
        <v>22</v>
      </c>
    </row>
    <row r="32" spans="1:5" x14ac:dyDescent="0.2">
      <c r="A32">
        <v>91</v>
      </c>
      <c r="B32">
        <v>2089</v>
      </c>
      <c r="C32">
        <f t="shared" si="0"/>
        <v>271704.2376155032</v>
      </c>
      <c r="D32" t="s">
        <v>23</v>
      </c>
      <c r="E32">
        <v>22</v>
      </c>
    </row>
    <row r="33" spans="1:5" x14ac:dyDescent="0.2">
      <c r="A33">
        <v>92</v>
      </c>
      <c r="B33">
        <v>2090</v>
      </c>
      <c r="C33">
        <f t="shared" si="0"/>
        <v>277138.32236781326</v>
      </c>
      <c r="D33" t="s">
        <v>23</v>
      </c>
      <c r="E33">
        <v>22</v>
      </c>
    </row>
    <row r="34" spans="1:5" x14ac:dyDescent="0.2">
      <c r="A34">
        <v>93</v>
      </c>
      <c r="B34">
        <v>2091</v>
      </c>
      <c r="C34">
        <f t="shared" si="0"/>
        <v>282681.08881516953</v>
      </c>
      <c r="D34" t="s">
        <v>23</v>
      </c>
      <c r="E34">
        <v>22</v>
      </c>
    </row>
    <row r="35" spans="1:5" x14ac:dyDescent="0.2">
      <c r="A35">
        <v>94</v>
      </c>
      <c r="B35">
        <v>2092</v>
      </c>
      <c r="C35">
        <f t="shared" si="0"/>
        <v>288334.71059147292</v>
      </c>
      <c r="D35" t="s">
        <v>23</v>
      </c>
      <c r="E35">
        <v>22</v>
      </c>
    </row>
    <row r="36" spans="1:5" x14ac:dyDescent="0.2">
      <c r="A36">
        <v>95</v>
      </c>
      <c r="B36">
        <v>2093</v>
      </c>
      <c r="C36">
        <f t="shared" si="0"/>
        <v>294101.40480330237</v>
      </c>
      <c r="D36" t="s">
        <v>23</v>
      </c>
      <c r="E36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zoomScale="200" workbookViewId="0">
      <selection activeCell="H6" sqref="H6"/>
    </sheetView>
  </sheetViews>
  <sheetFormatPr baseColWidth="10" defaultColWidth="8.83203125" defaultRowHeight="15" x14ac:dyDescent="0.2"/>
  <cols>
    <col min="1" max="1" width="8" customWidth="1"/>
    <col min="2" max="2" width="25" customWidth="1"/>
    <col min="3" max="4" width="16" customWidth="1"/>
    <col min="5" max="5" width="10" customWidth="1"/>
  </cols>
  <sheetData>
    <row r="1" spans="1:5" x14ac:dyDescent="0.2">
      <c r="A1" s="1" t="s">
        <v>12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2">
      <c r="A2">
        <v>2025</v>
      </c>
      <c r="B2" t="s">
        <v>22</v>
      </c>
      <c r="C2">
        <v>0</v>
      </c>
      <c r="D2">
        <v>11925</v>
      </c>
      <c r="E2">
        <v>10</v>
      </c>
    </row>
    <row r="3" spans="1:5" x14ac:dyDescent="0.2">
      <c r="A3">
        <v>2025</v>
      </c>
      <c r="B3" t="s">
        <v>22</v>
      </c>
      <c r="C3">
        <v>11925</v>
      </c>
      <c r="D3">
        <v>48475</v>
      </c>
      <c r="E3">
        <v>12</v>
      </c>
    </row>
    <row r="4" spans="1:5" x14ac:dyDescent="0.2">
      <c r="A4">
        <v>2025</v>
      </c>
      <c r="B4" t="s">
        <v>22</v>
      </c>
      <c r="C4">
        <v>48475</v>
      </c>
      <c r="D4">
        <v>103350</v>
      </c>
      <c r="E4">
        <v>22</v>
      </c>
    </row>
    <row r="5" spans="1:5" x14ac:dyDescent="0.2">
      <c r="A5">
        <v>2025</v>
      </c>
      <c r="B5" t="s">
        <v>22</v>
      </c>
      <c r="C5">
        <v>103350</v>
      </c>
      <c r="D5">
        <v>197300</v>
      </c>
      <c r="E5">
        <v>24</v>
      </c>
    </row>
    <row r="6" spans="1:5" x14ac:dyDescent="0.2">
      <c r="A6">
        <v>2025</v>
      </c>
      <c r="B6" t="s">
        <v>22</v>
      </c>
      <c r="C6">
        <v>197300</v>
      </c>
      <c r="D6">
        <v>250525</v>
      </c>
      <c r="E6">
        <v>32</v>
      </c>
    </row>
    <row r="7" spans="1:5" x14ac:dyDescent="0.2">
      <c r="A7">
        <v>2025</v>
      </c>
      <c r="B7" t="s">
        <v>22</v>
      </c>
      <c r="C7">
        <v>250525</v>
      </c>
      <c r="D7">
        <v>626350</v>
      </c>
      <c r="E7">
        <v>35</v>
      </c>
    </row>
    <row r="8" spans="1:5" x14ac:dyDescent="0.2">
      <c r="A8">
        <v>2025</v>
      </c>
      <c r="B8" t="s">
        <v>22</v>
      </c>
      <c r="C8">
        <v>626350</v>
      </c>
      <c r="E8">
        <v>37</v>
      </c>
    </row>
    <row r="9" spans="1:5" x14ac:dyDescent="0.2">
      <c r="A9">
        <v>2025</v>
      </c>
      <c r="B9" t="s">
        <v>23</v>
      </c>
      <c r="C9">
        <v>0</v>
      </c>
      <c r="D9">
        <v>23850</v>
      </c>
      <c r="E9">
        <v>10</v>
      </c>
    </row>
    <row r="10" spans="1:5" x14ac:dyDescent="0.2">
      <c r="A10">
        <v>2025</v>
      </c>
      <c r="B10" t="s">
        <v>23</v>
      </c>
      <c r="C10">
        <v>23850</v>
      </c>
      <c r="D10">
        <v>96950</v>
      </c>
      <c r="E10">
        <v>12</v>
      </c>
    </row>
    <row r="11" spans="1:5" x14ac:dyDescent="0.2">
      <c r="A11">
        <v>2025</v>
      </c>
      <c r="B11" t="s">
        <v>23</v>
      </c>
      <c r="C11">
        <v>96950</v>
      </c>
      <c r="D11">
        <v>206700</v>
      </c>
      <c r="E11">
        <v>22</v>
      </c>
    </row>
    <row r="12" spans="1:5" x14ac:dyDescent="0.2">
      <c r="A12">
        <v>2025</v>
      </c>
      <c r="B12" t="s">
        <v>23</v>
      </c>
      <c r="C12">
        <v>206700</v>
      </c>
      <c r="D12">
        <v>394600</v>
      </c>
      <c r="E12">
        <v>24</v>
      </c>
    </row>
    <row r="13" spans="1:5" x14ac:dyDescent="0.2">
      <c r="A13">
        <v>2025</v>
      </c>
      <c r="B13" t="s">
        <v>23</v>
      </c>
      <c r="C13">
        <v>394600</v>
      </c>
      <c r="D13">
        <v>501050</v>
      </c>
      <c r="E13">
        <v>32</v>
      </c>
    </row>
    <row r="14" spans="1:5" x14ac:dyDescent="0.2">
      <c r="A14">
        <v>2025</v>
      </c>
      <c r="B14" t="s">
        <v>23</v>
      </c>
      <c r="C14">
        <v>501050</v>
      </c>
      <c r="D14">
        <v>751600</v>
      </c>
      <c r="E14">
        <v>35</v>
      </c>
    </row>
    <row r="15" spans="1:5" x14ac:dyDescent="0.2">
      <c r="A15">
        <v>2025</v>
      </c>
      <c r="B15" t="s">
        <v>23</v>
      </c>
      <c r="C15">
        <v>751600</v>
      </c>
      <c r="E15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zoomScale="232" workbookViewId="0"/>
  </sheetViews>
  <sheetFormatPr baseColWidth="10" defaultColWidth="8.83203125" defaultRowHeight="15" x14ac:dyDescent="0.2"/>
  <cols>
    <col min="1" max="1" width="8" customWidth="1"/>
    <col min="2" max="2" width="15" customWidth="1"/>
    <col min="3" max="3" width="16" customWidth="1"/>
  </cols>
  <sheetData>
    <row r="1" spans="1:3" x14ac:dyDescent="0.2">
      <c r="A1" s="1" t="s">
        <v>12</v>
      </c>
      <c r="B1" s="1" t="s">
        <v>24</v>
      </c>
      <c r="C1" s="1" t="s">
        <v>25</v>
      </c>
    </row>
    <row r="2" spans="1:3" x14ac:dyDescent="0.2">
      <c r="A2">
        <v>2025</v>
      </c>
      <c r="B2">
        <v>23500</v>
      </c>
      <c r="C2">
        <v>7500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zoomScale="175" workbookViewId="0"/>
  </sheetViews>
  <sheetFormatPr baseColWidth="10" defaultColWidth="8.83203125" defaultRowHeight="15" x14ac:dyDescent="0.2"/>
  <cols>
    <col min="1" max="1" width="8" customWidth="1"/>
    <col min="2" max="2" width="20" customWidth="1"/>
  </cols>
  <sheetData>
    <row r="1" spans="1:2" x14ac:dyDescent="0.2">
      <c r="A1" s="1" t="s">
        <v>12</v>
      </c>
      <c r="B1" s="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Profile</vt:lpstr>
      <vt:lpstr>Contributions</vt:lpstr>
      <vt:lpstr>Withdrawals</vt:lpstr>
      <vt:lpstr>Tax Brackets</vt:lpstr>
      <vt:lpstr>IRS Limits</vt:lpstr>
      <vt:lpstr>Conversions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Tristan Ball</cp:lastModifiedBy>
  <dcterms:created xsi:type="dcterms:W3CDTF">2026-06-23T18:49:29Z</dcterms:created>
  <dcterms:modified xsi:type="dcterms:W3CDTF">2026-06-24T04:47:36Z</dcterms:modified>
</cp:coreProperties>
</file>